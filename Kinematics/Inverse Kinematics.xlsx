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ewail City\Summer 2022\ENGR 444\Progress\Week 18\Day 126 - Mon, 07-Nov-22\"/>
    </mc:Choice>
  </mc:AlternateContent>
  <xr:revisionPtr revIDLastSave="0" documentId="13_ncr:1_{181BA805-1B8B-44B9-A9AE-CDC25EE635B3}" xr6:coauthVersionLast="47" xr6:coauthVersionMax="47" xr10:uidLastSave="{00000000-0000-0000-0000-000000000000}"/>
  <bookViews>
    <workbookView xWindow="-108" yWindow="-108" windowWidth="23256" windowHeight="12456" xr2:uid="{729DF0BD-31A0-40A1-9B8B-67BE3B774860}"/>
  </bookViews>
  <sheets>
    <sheet name="Sheet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6" l="1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E4" i="6"/>
  <c r="S4" i="6" s="1"/>
  <c r="T4" i="6" s="1"/>
  <c r="E5" i="6"/>
  <c r="S5" i="6" s="1"/>
  <c r="T5" i="6" s="1"/>
  <c r="V5" i="6" s="1"/>
  <c r="Q5" i="6" s="1"/>
  <c r="E6" i="6"/>
  <c r="S6" i="6" s="1"/>
  <c r="T6" i="6" s="1"/>
  <c r="V6" i="6" s="1"/>
  <c r="E7" i="6"/>
  <c r="S7" i="6" s="1"/>
  <c r="T7" i="6" s="1"/>
  <c r="E8" i="6"/>
  <c r="S8" i="6" s="1"/>
  <c r="T8" i="6" s="1"/>
  <c r="W8" i="6" s="1"/>
  <c r="E9" i="6"/>
  <c r="S9" i="6" s="1"/>
  <c r="T9" i="6" s="1"/>
  <c r="E10" i="6"/>
  <c r="S10" i="6" s="1"/>
  <c r="T10" i="6" s="1"/>
  <c r="E11" i="6"/>
  <c r="S11" i="6" s="1"/>
  <c r="T11" i="6" s="1"/>
  <c r="V11" i="6" s="1"/>
  <c r="Q11" i="6" s="1"/>
  <c r="E12" i="6"/>
  <c r="S12" i="6" s="1"/>
  <c r="T12" i="6" s="1"/>
  <c r="V12" i="6" s="1"/>
  <c r="Q12" i="6" s="1"/>
  <c r="E13" i="6"/>
  <c r="S13" i="6" s="1"/>
  <c r="T13" i="6" s="1"/>
  <c r="E14" i="6"/>
  <c r="S14" i="6" s="1"/>
  <c r="T14" i="6" s="1"/>
  <c r="E16" i="6"/>
  <c r="S16" i="6" s="1"/>
  <c r="T16" i="6" s="1"/>
  <c r="W16" i="6" s="1"/>
  <c r="E17" i="6"/>
  <c r="S17" i="6" s="1"/>
  <c r="T17" i="6" s="1"/>
  <c r="E18" i="6"/>
  <c r="S18" i="6" s="1"/>
  <c r="T18" i="6" s="1"/>
  <c r="E19" i="6"/>
  <c r="S19" i="6" s="1"/>
  <c r="T19" i="6" s="1"/>
  <c r="E20" i="6"/>
  <c r="S20" i="6" s="1"/>
  <c r="T20" i="6" s="1"/>
  <c r="E21" i="6"/>
  <c r="S21" i="6" s="1"/>
  <c r="T21" i="6" s="1"/>
  <c r="E22" i="6"/>
  <c r="S22" i="6" s="1"/>
  <c r="T22" i="6" s="1"/>
  <c r="E23" i="6"/>
  <c r="S23" i="6" s="1"/>
  <c r="T23" i="6" s="1"/>
  <c r="W23" i="6" s="1"/>
  <c r="U4" i="6"/>
  <c r="P4" i="6" s="1"/>
  <c r="U5" i="6"/>
  <c r="P5" i="6" s="1"/>
  <c r="U6" i="6"/>
  <c r="P6" i="6" s="1"/>
  <c r="U7" i="6"/>
  <c r="P7" i="6" s="1"/>
  <c r="U8" i="6"/>
  <c r="P8" i="6" s="1"/>
  <c r="U9" i="6"/>
  <c r="P9" i="6" s="1"/>
  <c r="U10" i="6"/>
  <c r="P10" i="6" s="1"/>
  <c r="U11" i="6"/>
  <c r="P11" i="6" s="1"/>
  <c r="U12" i="6"/>
  <c r="P12" i="6" s="1"/>
  <c r="U13" i="6"/>
  <c r="P13" i="6" s="1"/>
  <c r="U14" i="6"/>
  <c r="P14" i="6" s="1"/>
  <c r="U16" i="6"/>
  <c r="P16" i="6" s="1"/>
  <c r="U17" i="6"/>
  <c r="P17" i="6" s="1"/>
  <c r="U18" i="6"/>
  <c r="P18" i="6" s="1"/>
  <c r="U19" i="6"/>
  <c r="P19" i="6" s="1"/>
  <c r="U20" i="6"/>
  <c r="P20" i="6" s="1"/>
  <c r="U21" i="6"/>
  <c r="P21" i="6" s="1"/>
  <c r="U22" i="6"/>
  <c r="P22" i="6" s="1"/>
  <c r="U23" i="6"/>
  <c r="P23" i="6" s="1"/>
  <c r="O4" i="6"/>
  <c r="N4" i="6"/>
  <c r="M4" i="6"/>
  <c r="A21" i="6"/>
  <c r="A22" i="6"/>
  <c r="A23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E15" i="6" l="1"/>
  <c r="S15" i="6" s="1"/>
  <c r="T15" i="6" s="1"/>
  <c r="W15" i="6" s="1"/>
  <c r="U15" i="6"/>
  <c r="P15" i="6" s="1"/>
  <c r="V19" i="6"/>
  <c r="Q19" i="6" s="1"/>
  <c r="W19" i="6"/>
  <c r="W9" i="6"/>
  <c r="V9" i="6"/>
  <c r="Q9" i="6" s="1"/>
  <c r="W7" i="6"/>
  <c r="V7" i="6"/>
  <c r="Q7" i="6" s="1"/>
  <c r="W22" i="6"/>
  <c r="V22" i="6"/>
  <c r="Q22" i="6" s="1"/>
  <c r="V14" i="6"/>
  <c r="Q14" i="6" s="1"/>
  <c r="W14" i="6"/>
  <c r="W17" i="6"/>
  <c r="V17" i="6"/>
  <c r="Q17" i="6" s="1"/>
  <c r="W13" i="6"/>
  <c r="V13" i="6"/>
  <c r="Q13" i="6" s="1"/>
  <c r="V4" i="6"/>
  <c r="Q4" i="6" s="1"/>
  <c r="W4" i="6"/>
  <c r="V10" i="6"/>
  <c r="Q10" i="6" s="1"/>
  <c r="W10" i="6"/>
  <c r="W18" i="6"/>
  <c r="V18" i="6"/>
  <c r="Q18" i="6" s="1"/>
  <c r="V21" i="6"/>
  <c r="Q21" i="6" s="1"/>
  <c r="V20" i="6"/>
  <c r="Q20" i="6" s="1"/>
  <c r="V23" i="6"/>
  <c r="Q23" i="6" s="1"/>
  <c r="W12" i="6"/>
  <c r="V8" i="6"/>
  <c r="Q8" i="6" s="1"/>
  <c r="W20" i="6"/>
  <c r="W5" i="6"/>
  <c r="W11" i="6"/>
  <c r="W21" i="6"/>
  <c r="V16" i="6"/>
  <c r="Q16" i="6" s="1"/>
  <c r="W6" i="6"/>
  <c r="Q6" i="6"/>
  <c r="V15" i="6" l="1"/>
  <c r="Q15" i="6" s="1"/>
  <c r="I11" i="6"/>
  <c r="H11" i="6"/>
  <c r="H14" i="6"/>
  <c r="I14" i="6"/>
  <c r="H19" i="6"/>
  <c r="I19" i="6"/>
  <c r="I6" i="6"/>
  <c r="H6" i="6"/>
  <c r="H12" i="6"/>
  <c r="I12" i="6"/>
  <c r="I18" i="6"/>
  <c r="H18" i="6"/>
  <c r="I22" i="6"/>
  <c r="H22" i="6"/>
  <c r="I9" i="6"/>
  <c r="H9" i="6"/>
  <c r="H16" i="6"/>
  <c r="H20" i="6"/>
  <c r="I20" i="6"/>
  <c r="I16" i="6"/>
  <c r="I13" i="6"/>
  <c r="H13" i="6"/>
  <c r="I17" i="6"/>
  <c r="H17" i="6"/>
  <c r="I23" i="6"/>
  <c r="H23" i="6"/>
  <c r="I10" i="6"/>
  <c r="H10" i="6"/>
  <c r="I21" i="6"/>
  <c r="H21" i="6"/>
  <c r="H8" i="6"/>
  <c r="I7" i="6"/>
  <c r="H7" i="6"/>
  <c r="I8" i="6"/>
  <c r="I5" i="6"/>
  <c r="H5" i="6"/>
  <c r="I4" i="6"/>
  <c r="H4" i="6"/>
  <c r="R9" i="6"/>
  <c r="R16" i="6"/>
  <c r="R19" i="6"/>
  <c r="R12" i="6"/>
  <c r="R5" i="6"/>
  <c r="R7" i="6"/>
  <c r="R11" i="6"/>
  <c r="R20" i="6"/>
  <c r="H15" i="6" l="1"/>
  <c r="I15" i="6"/>
  <c r="F15" i="6" s="1"/>
  <c r="F23" i="6"/>
  <c r="G23" i="6"/>
  <c r="F22" i="6"/>
  <c r="G22" i="6"/>
  <c r="F21" i="6"/>
  <c r="G21" i="6"/>
  <c r="F16" i="6"/>
  <c r="G16" i="6"/>
  <c r="G19" i="6"/>
  <c r="F19" i="6"/>
  <c r="F18" i="6"/>
  <c r="G18" i="6"/>
  <c r="G11" i="6"/>
  <c r="F11" i="6"/>
  <c r="F20" i="6"/>
  <c r="G20" i="6"/>
  <c r="G12" i="6"/>
  <c r="F12" i="6"/>
  <c r="F17" i="6"/>
  <c r="G17" i="6"/>
  <c r="F8" i="6"/>
  <c r="G8" i="6"/>
  <c r="F13" i="6"/>
  <c r="G13" i="6"/>
  <c r="G14" i="6"/>
  <c r="F14" i="6"/>
  <c r="F10" i="6"/>
  <c r="G10" i="6"/>
  <c r="F7" i="6"/>
  <c r="G7" i="6"/>
  <c r="F9" i="6"/>
  <c r="G9" i="6"/>
  <c r="F6" i="6"/>
  <c r="G6" i="6"/>
  <c r="F5" i="6"/>
  <c r="G5" i="6"/>
  <c r="G4" i="6"/>
  <c r="F4" i="6"/>
  <c r="R6" i="6"/>
  <c r="R18" i="6"/>
  <c r="R23" i="6"/>
  <c r="R21" i="6"/>
  <c r="R22" i="6"/>
  <c r="R10" i="6"/>
  <c r="R14" i="6"/>
  <c r="R8" i="6"/>
  <c r="R4" i="6"/>
  <c r="R13" i="6"/>
  <c r="R15" i="6"/>
  <c r="R17" i="6"/>
  <c r="G15" i="6" l="1"/>
</calcChain>
</file>

<file path=xl/sharedStrings.xml><?xml version="1.0" encoding="utf-8"?>
<sst xmlns="http://schemas.openxmlformats.org/spreadsheetml/2006/main" count="35" uniqueCount="28">
  <si>
    <t>Coordinates</t>
  </si>
  <si>
    <t>Real</t>
  </si>
  <si>
    <t>Forward</t>
  </si>
  <si>
    <t>#</t>
  </si>
  <si>
    <t>Servo Angles</t>
  </si>
  <si>
    <t>Calculations1</t>
  </si>
  <si>
    <t>x</t>
  </si>
  <si>
    <t>y</t>
  </si>
  <si>
    <t>z</t>
  </si>
  <si>
    <t>x_f</t>
  </si>
  <si>
    <t>y_f</t>
  </si>
  <si>
    <t>z_f</t>
  </si>
  <si>
    <t>base</t>
  </si>
  <si>
    <t>elbow</t>
  </si>
  <si>
    <t>shoulder</t>
  </si>
  <si>
    <t>theta</t>
  </si>
  <si>
    <t>u</t>
  </si>
  <si>
    <t>l</t>
  </si>
  <si>
    <t>Calculations2</t>
  </si>
  <si>
    <t>r</t>
  </si>
  <si>
    <t>r_f</t>
  </si>
  <si>
    <t>temp1</t>
  </si>
  <si>
    <t>temp2</t>
  </si>
  <si>
    <t>Offset Elbow</t>
  </si>
  <si>
    <t>Offset Shoulder</t>
  </si>
  <si>
    <t>Exact</t>
  </si>
  <si>
    <t>Z Offset</t>
  </si>
  <si>
    <t>Offset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</si>
</sst>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9" borderId="7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34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</a:t>
            </a:r>
            <a:r>
              <a:rPr lang="en-US" baseline="0"/>
              <a:t> Real vs Base Measured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0148251057176106"/>
                  <c:y val="6.75996729984855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Sheet1!$M$4:$M$23</c:f>
              <c:numCache>
                <c:formatCode>General</c:formatCode>
                <c:ptCount val="20"/>
                <c:pt idx="0">
                  <c:v>44.018699999999995</c:v>
                </c:pt>
                <c:pt idx="1">
                  <c:v>44.018699999999995</c:v>
                </c:pt>
                <c:pt idx="2">
                  <c:v>44.018699999999995</c:v>
                </c:pt>
                <c:pt idx="3">
                  <c:v>44.018699999999995</c:v>
                </c:pt>
                <c:pt idx="4">
                  <c:v>44.018699999999995</c:v>
                </c:pt>
                <c:pt idx="5">
                  <c:v>64.180700000000002</c:v>
                </c:pt>
                <c:pt idx="6">
                  <c:v>64.180700000000002</c:v>
                </c:pt>
                <c:pt idx="7">
                  <c:v>64.180700000000002</c:v>
                </c:pt>
                <c:pt idx="8">
                  <c:v>64.180700000000002</c:v>
                </c:pt>
                <c:pt idx="9">
                  <c:v>84.342699999999994</c:v>
                </c:pt>
                <c:pt idx="10">
                  <c:v>84.342699999999994</c:v>
                </c:pt>
                <c:pt idx="11">
                  <c:v>84.342699999999994</c:v>
                </c:pt>
                <c:pt idx="12">
                  <c:v>104.5047</c:v>
                </c:pt>
                <c:pt idx="13">
                  <c:v>104.5047</c:v>
                </c:pt>
                <c:pt idx="14">
                  <c:v>124.66669999999999</c:v>
                </c:pt>
                <c:pt idx="15">
                  <c:v>124.66669999999999</c:v>
                </c:pt>
                <c:pt idx="16">
                  <c:v>124.66669999999999</c:v>
                </c:pt>
                <c:pt idx="17">
                  <c:v>164.9907</c:v>
                </c:pt>
                <c:pt idx="18">
                  <c:v>164.9907</c:v>
                </c:pt>
                <c:pt idx="19">
                  <c:v>180</c:v>
                </c:pt>
              </c:numCache>
            </c:numRef>
          </c:xVal>
          <c:yVal>
            <c:numRef>
              <c:f>Sheet1!$P$4:$P$23</c:f>
              <c:numCache>
                <c:formatCode>General</c:formatCode>
                <c:ptCount val="20"/>
                <c:pt idx="0">
                  <c:v>50.236358309273818</c:v>
                </c:pt>
                <c:pt idx="1">
                  <c:v>49.805571092265197</c:v>
                </c:pt>
                <c:pt idx="2">
                  <c:v>51.745883858306215</c:v>
                </c:pt>
                <c:pt idx="3">
                  <c:v>49.400660663479428</c:v>
                </c:pt>
                <c:pt idx="4">
                  <c:v>45.383408429950045</c:v>
                </c:pt>
                <c:pt idx="5">
                  <c:v>64.360190801913319</c:v>
                </c:pt>
                <c:pt idx="6">
                  <c:v>65.569991220827092</c:v>
                </c:pt>
                <c:pt idx="7">
                  <c:v>69.656751115760429</c:v>
                </c:pt>
                <c:pt idx="8">
                  <c:v>64.570866180092082</c:v>
                </c:pt>
                <c:pt idx="9">
                  <c:v>85.963756532073518</c:v>
                </c:pt>
                <c:pt idx="10">
                  <c:v>83.048105754553063</c:v>
                </c:pt>
                <c:pt idx="11">
                  <c:v>77.198983687827734</c:v>
                </c:pt>
                <c:pt idx="12">
                  <c:v>99.96463223936064</c:v>
                </c:pt>
                <c:pt idx="13">
                  <c:v>99.514454169991865</c:v>
                </c:pt>
                <c:pt idx="14">
                  <c:v>117.75635034065408</c:v>
                </c:pt>
                <c:pt idx="15">
                  <c:v>118.90845688165695</c:v>
                </c:pt>
                <c:pt idx="16">
                  <c:v>114.95167735392434</c:v>
                </c:pt>
                <c:pt idx="17">
                  <c:v>154.76326696921106</c:v>
                </c:pt>
                <c:pt idx="18">
                  <c:v>159.62087398863164</c:v>
                </c:pt>
                <c:pt idx="19">
                  <c:v>181.11934084947978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87-4672-9497-96C26035D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2464256"/>
        <c:axId val="1497838400"/>
      </c:scatterChart>
      <c:valAx>
        <c:axId val="149246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Base Real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838400"/>
        <c:crosses val="autoZero"/>
        <c:crossBetween val="midCat"/>
      </c:valAx>
      <c:valAx>
        <c:axId val="149783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Base Measured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464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Elbow Real vs Elbow Measured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3897048326408399"/>
                  <c:y val="-7.184391682735853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Sheet1!$N$4:$N$23</c:f>
              <c:numCache>
                <c:formatCode>General</c:formatCode>
                <c:ptCount val="20"/>
                <c:pt idx="0">
                  <c:v>15.720599999999997</c:v>
                </c:pt>
                <c:pt idx="1">
                  <c:v>55.392600000000002</c:v>
                </c:pt>
                <c:pt idx="2">
                  <c:v>55.392600000000002</c:v>
                </c:pt>
                <c:pt idx="3">
                  <c:v>95.064600000000013</c:v>
                </c:pt>
                <c:pt idx="4">
                  <c:v>114.90060000000001</c:v>
                </c:pt>
                <c:pt idx="5">
                  <c:v>55.392600000000002</c:v>
                </c:pt>
                <c:pt idx="6">
                  <c:v>75.2286</c:v>
                </c:pt>
                <c:pt idx="7">
                  <c:v>95.064600000000013</c:v>
                </c:pt>
                <c:pt idx="8">
                  <c:v>114.90060000000001</c:v>
                </c:pt>
                <c:pt idx="9">
                  <c:v>15.720599999999997</c:v>
                </c:pt>
                <c:pt idx="10">
                  <c:v>75.2286</c:v>
                </c:pt>
                <c:pt idx="11">
                  <c:v>114.90060000000001</c:v>
                </c:pt>
                <c:pt idx="12">
                  <c:v>55.392600000000002</c:v>
                </c:pt>
                <c:pt idx="13">
                  <c:v>75.2286</c:v>
                </c:pt>
                <c:pt idx="14">
                  <c:v>15.720599999999997</c:v>
                </c:pt>
                <c:pt idx="15">
                  <c:v>55.392600000000002</c:v>
                </c:pt>
                <c:pt idx="16">
                  <c:v>95.064600000000013</c:v>
                </c:pt>
                <c:pt idx="17">
                  <c:v>35.556599999999996</c:v>
                </c:pt>
                <c:pt idx="18">
                  <c:v>95.064600000000013</c:v>
                </c:pt>
                <c:pt idx="19">
                  <c:v>35.556599999999996</c:v>
                </c:pt>
              </c:numCache>
            </c:numRef>
          </c:xVal>
          <c:yVal>
            <c:numRef>
              <c:f>Sheet1!$Q$4:$Q$23</c:f>
              <c:numCache>
                <c:formatCode>General</c:formatCode>
                <c:ptCount val="20"/>
                <c:pt idx="0">
                  <c:v>21.11409787172002</c:v>
                </c:pt>
                <c:pt idx="1">
                  <c:v>53.635852196598421</c:v>
                </c:pt>
                <c:pt idx="2">
                  <c:v>56.572341895708838</c:v>
                </c:pt>
                <c:pt idx="3">
                  <c:v>87.651975208430542</c:v>
                </c:pt>
                <c:pt idx="4">
                  <c:v>111.19351544103496</c:v>
                </c:pt>
                <c:pt idx="5">
                  <c:v>58.609473769214034</c:v>
                </c:pt>
                <c:pt idx="6">
                  <c:v>72.6947951190688</c:v>
                </c:pt>
                <c:pt idx="7">
                  <c:v>84.9748477180853</c:v>
                </c:pt>
                <c:pt idx="8">
                  <c:v>105.66030891501504</c:v>
                </c:pt>
                <c:pt idx="9">
                  <c:v>18.206205976225533</c:v>
                </c:pt>
                <c:pt idx="10">
                  <c:v>73.973997123789445</c:v>
                </c:pt>
                <c:pt idx="11">
                  <c:v>109.18362843117477</c:v>
                </c:pt>
                <c:pt idx="12">
                  <c:v>56.372016228565379</c:v>
                </c:pt>
                <c:pt idx="13">
                  <c:v>74.63155241655349</c:v>
                </c:pt>
                <c:pt idx="14">
                  <c:v>12.262390820992664</c:v>
                </c:pt>
                <c:pt idx="15">
                  <c:v>58.611886724390104</c:v>
                </c:pt>
                <c:pt idx="16">
                  <c:v>92.653130334363922</c:v>
                </c:pt>
                <c:pt idx="17">
                  <c:v>32.176705648132724</c:v>
                </c:pt>
                <c:pt idx="18">
                  <c:v>91.617323703662393</c:v>
                </c:pt>
                <c:pt idx="19">
                  <c:v>26.716005518899976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A36-4BA2-84D2-4189AFCE9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9365344"/>
        <c:axId val="1496967744"/>
      </c:scatterChart>
      <c:valAx>
        <c:axId val="1969365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Elbow Real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967744"/>
        <c:crosses val="autoZero"/>
        <c:crossBetween val="midCat"/>
      </c:valAx>
      <c:valAx>
        <c:axId val="149696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Elbow Measured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365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Shoulder Real vs </a:t>
            </a:r>
            <a:r>
              <a:rPr lang="en-US" sz="1400" b="0" i="0" u="none" strike="noStrike" baseline="0">
                <a:effectLst/>
              </a:rPr>
              <a:t>Shoulder</a:t>
            </a:r>
            <a:r>
              <a:rPr lang="en-US"/>
              <a:t> Measured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3897048326408399"/>
                  <c:y val="-7.184391682735853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Sheet1!$O$4:$O$23</c:f>
              <c:numCache>
                <c:formatCode>General</c:formatCode>
                <c:ptCount val="20"/>
                <c:pt idx="0">
                  <c:v>107.41679999999999</c:v>
                </c:pt>
                <c:pt idx="1">
                  <c:v>87.180799999999991</c:v>
                </c:pt>
                <c:pt idx="2">
                  <c:v>168.12479999999999</c:v>
                </c:pt>
                <c:pt idx="3">
                  <c:v>46.708800000000004</c:v>
                </c:pt>
                <c:pt idx="4">
                  <c:v>147.8888</c:v>
                </c:pt>
                <c:pt idx="5">
                  <c:v>127.65279999999998</c:v>
                </c:pt>
                <c:pt idx="6">
                  <c:v>87.180799999999991</c:v>
                </c:pt>
                <c:pt idx="7">
                  <c:v>26.472799999999999</c:v>
                </c:pt>
                <c:pt idx="8">
                  <c:v>147.8888</c:v>
                </c:pt>
                <c:pt idx="9">
                  <c:v>107.41679999999999</c:v>
                </c:pt>
                <c:pt idx="10">
                  <c:v>127.65279999999998</c:v>
                </c:pt>
                <c:pt idx="11">
                  <c:v>107.41679999999999</c:v>
                </c:pt>
                <c:pt idx="12">
                  <c:v>107.41679999999999</c:v>
                </c:pt>
                <c:pt idx="13">
                  <c:v>107.41679999999999</c:v>
                </c:pt>
                <c:pt idx="14">
                  <c:v>66.944800000000001</c:v>
                </c:pt>
                <c:pt idx="15">
                  <c:v>127.65279999999998</c:v>
                </c:pt>
                <c:pt idx="16">
                  <c:v>107.41679999999999</c:v>
                </c:pt>
                <c:pt idx="17">
                  <c:v>107.41679999999999</c:v>
                </c:pt>
                <c:pt idx="18">
                  <c:v>26.472799999999999</c:v>
                </c:pt>
                <c:pt idx="19">
                  <c:v>66.944800000000001</c:v>
                </c:pt>
              </c:numCache>
            </c:numRef>
          </c:xVal>
          <c:yVal>
            <c:numRef>
              <c:f>Sheet1!$R$4:$R$23</c:f>
              <c:numCache>
                <c:formatCode>General</c:formatCode>
                <c:ptCount val="20"/>
                <c:pt idx="0">
                  <c:v>122.01979899947773</c:v>
                </c:pt>
                <c:pt idx="1">
                  <c:v>109.56022169859183</c:v>
                </c:pt>
                <c:pt idx="2">
                  <c:v>179.87774917136852</c:v>
                </c:pt>
                <c:pt idx="3">
                  <c:v>63.074273851847579</c:v>
                </c:pt>
                <c:pt idx="4">
                  <c:v>158.80648455896505</c:v>
                </c:pt>
                <c:pt idx="5">
                  <c:v>141.20811009952521</c:v>
                </c:pt>
                <c:pt idx="6">
                  <c:v>96.428880694763023</c:v>
                </c:pt>
                <c:pt idx="7">
                  <c:v>51.613801159524144</c:v>
                </c:pt>
                <c:pt idx="8">
                  <c:v>155.39774895804305</c:v>
                </c:pt>
                <c:pt idx="9">
                  <c:v>118.21396901579888</c:v>
                </c:pt>
                <c:pt idx="10">
                  <c:v>132.07027290125171</c:v>
                </c:pt>
                <c:pt idx="11">
                  <c:v>111.83200931556065</c:v>
                </c:pt>
                <c:pt idx="12">
                  <c:v>112.32436225357</c:v>
                </c:pt>
                <c:pt idx="13">
                  <c:v>115.83862590644665</c:v>
                </c:pt>
                <c:pt idx="14">
                  <c:v>98.236488427760406</c:v>
                </c:pt>
                <c:pt idx="15">
                  <c:v>136.50174045910467</c:v>
                </c:pt>
                <c:pt idx="16">
                  <c:v>117.75331620376849</c:v>
                </c:pt>
                <c:pt idx="17">
                  <c:v>116.94906728369048</c:v>
                </c:pt>
                <c:pt idx="18">
                  <c:v>40.392944932584484</c:v>
                </c:pt>
                <c:pt idx="19">
                  <c:v>87.276942012112869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A90-416B-8FCF-3FD6D8A7D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9365344"/>
        <c:axId val="1496967744"/>
      </c:scatterChart>
      <c:valAx>
        <c:axId val="1969365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Shoulder</a:t>
                </a:r>
                <a:r>
                  <a:rPr lang="en-US"/>
                  <a:t> Real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967744"/>
        <c:crosses val="autoZero"/>
        <c:crossBetween val="midCat"/>
      </c:valAx>
      <c:valAx>
        <c:axId val="149696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Shoulder</a:t>
                </a:r>
                <a:r>
                  <a:rPr lang="en-US"/>
                  <a:t> Measured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365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55724</xdr:colOff>
      <xdr:row>0</xdr:row>
      <xdr:rowOff>93794</xdr:rowOff>
    </xdr:from>
    <xdr:to>
      <xdr:col>29</xdr:col>
      <xdr:colOff>227</xdr:colOff>
      <xdr:row>12</xdr:row>
      <xdr:rowOff>33115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1CC1F4-56FC-47AB-8DF8-13FEF8316B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45117</xdr:colOff>
      <xdr:row>12</xdr:row>
      <xdr:rowOff>116633</xdr:rowOff>
    </xdr:from>
    <xdr:to>
      <xdr:col>28</xdr:col>
      <xdr:colOff>583660</xdr:colOff>
      <xdr:row>25</xdr:row>
      <xdr:rowOff>165980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8D3722-C129-4186-8FFA-49BCC7F8BE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12808</xdr:colOff>
      <xdr:row>25</xdr:row>
      <xdr:rowOff>168973</xdr:rowOff>
    </xdr:from>
    <xdr:to>
      <xdr:col>28</xdr:col>
      <xdr:colOff>590159</xdr:colOff>
      <xdr:row>39</xdr:row>
      <xdr:rowOff>52812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7AB5C6-E96C-4061-B0A1-91376AC08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6671F-8D32-4FB4-867F-C090F4188DB4}">
  <dimension ref="A1:Y25"/>
  <sheetViews>
    <sheetView tabSelected="1" topLeftCell="V1" zoomScale="141" workbookViewId="0">
      <selection activeCell="AE9" sqref="AE9:AE11"/>
    </sheetView>
  </sheetViews>
  <sheetFormatPr defaultRowHeight="14.4" x14ac:dyDescent="0.3"/>
  <cols>
    <col min="24" max="24" width="14.109375" bestFit="1" customWidth="1"/>
  </cols>
  <sheetData>
    <row r="1" spans="1:25" x14ac:dyDescent="0.3">
      <c r="A1" s="13" t="s">
        <v>3</v>
      </c>
      <c r="B1" s="20" t="s">
        <v>0</v>
      </c>
      <c r="C1" s="21"/>
      <c r="D1" s="21"/>
      <c r="E1" s="21"/>
      <c r="F1" s="21"/>
      <c r="G1" s="21"/>
      <c r="H1" s="21"/>
      <c r="I1" s="22"/>
      <c r="J1" s="10" t="s">
        <v>4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2"/>
      <c r="X1" t="s">
        <v>23</v>
      </c>
      <c r="Y1">
        <v>90</v>
      </c>
    </row>
    <row r="2" spans="1:25" x14ac:dyDescent="0.3">
      <c r="A2" s="13"/>
      <c r="B2" s="14" t="s">
        <v>1</v>
      </c>
      <c r="C2" s="15"/>
      <c r="D2" s="15"/>
      <c r="E2" s="16"/>
      <c r="F2" s="15" t="s">
        <v>2</v>
      </c>
      <c r="G2" s="15"/>
      <c r="H2" s="15"/>
      <c r="I2" s="16"/>
      <c r="J2" s="17" t="s">
        <v>1</v>
      </c>
      <c r="K2" s="18"/>
      <c r="L2" s="19"/>
      <c r="M2" s="17" t="s">
        <v>25</v>
      </c>
      <c r="N2" s="18"/>
      <c r="O2" s="19"/>
      <c r="P2" s="17" t="s">
        <v>5</v>
      </c>
      <c r="Q2" s="18"/>
      <c r="R2" s="19"/>
      <c r="S2" s="17" t="s">
        <v>18</v>
      </c>
      <c r="T2" s="18"/>
      <c r="U2" s="18"/>
      <c r="V2" s="18"/>
      <c r="W2" s="19"/>
      <c r="X2" t="s">
        <v>24</v>
      </c>
      <c r="Y2">
        <v>90</v>
      </c>
    </row>
    <row r="3" spans="1:25" x14ac:dyDescent="0.3">
      <c r="A3" s="13"/>
      <c r="B3" s="3" t="s">
        <v>6</v>
      </c>
      <c r="C3" s="4" t="s">
        <v>7</v>
      </c>
      <c r="D3" s="4" t="s">
        <v>8</v>
      </c>
      <c r="E3" s="5" t="s">
        <v>19</v>
      </c>
      <c r="F3" s="4" t="s">
        <v>9</v>
      </c>
      <c r="G3" s="4" t="s">
        <v>10</v>
      </c>
      <c r="H3" s="4" t="s">
        <v>11</v>
      </c>
      <c r="I3" s="5" t="s">
        <v>20</v>
      </c>
      <c r="J3" s="6" t="s">
        <v>12</v>
      </c>
      <c r="K3" s="6" t="s">
        <v>13</v>
      </c>
      <c r="L3" s="7" t="s">
        <v>14</v>
      </c>
      <c r="M3" s="6" t="s">
        <v>12</v>
      </c>
      <c r="N3" s="6" t="s">
        <v>13</v>
      </c>
      <c r="O3" s="8" t="s">
        <v>14</v>
      </c>
      <c r="P3" s="6" t="s">
        <v>12</v>
      </c>
      <c r="Q3" s="6" t="s">
        <v>13</v>
      </c>
      <c r="R3" s="8" t="s">
        <v>14</v>
      </c>
      <c r="S3" s="6" t="s">
        <v>21</v>
      </c>
      <c r="T3" s="6" t="s">
        <v>22</v>
      </c>
      <c r="U3" s="6" t="s">
        <v>15</v>
      </c>
      <c r="V3" s="6" t="s">
        <v>16</v>
      </c>
      <c r="W3" s="8" t="s">
        <v>17</v>
      </c>
      <c r="X3" t="s">
        <v>26</v>
      </c>
      <c r="Y3">
        <v>57.3</v>
      </c>
    </row>
    <row r="4" spans="1:25" x14ac:dyDescent="0.3">
      <c r="A4" s="9">
        <f t="shared" ref="A4:A8" si="0">ROW()-3</f>
        <v>1</v>
      </c>
      <c r="B4" s="1">
        <v>88</v>
      </c>
      <c r="C4" s="1">
        <v>-104</v>
      </c>
      <c r="D4" s="1">
        <v>50.5</v>
      </c>
      <c r="E4" s="2">
        <f t="shared" ref="E4:E8" si="1">SQRT(B4^2+C4^2)</f>
        <v>136.23509092741122</v>
      </c>
      <c r="F4" s="1">
        <f t="shared" ref="F4:F8" si="2">I4*COS((U4/180)*PI())</f>
        <v>97.689133621992625</v>
      </c>
      <c r="G4" s="1">
        <f t="shared" ref="G4:G8" si="3">I4*SIN((U4/180)*PI())</f>
        <v>-115.45079428053675</v>
      </c>
      <c r="H4" s="1">
        <f t="shared" ref="H4:H8" si="4">57.3+80*COS((W4/180)*PI())-80*COS((V4/180)*PI())</f>
        <v>50.5</v>
      </c>
      <c r="I4" s="2">
        <f t="shared" ref="I4:I8" si="5">15+80*SIN((W4/180)*PI())+80*SIN((V4/180)*PI())+65</f>
        <v>151.23509092741125</v>
      </c>
      <c r="J4" s="1">
        <v>40</v>
      </c>
      <c r="K4" s="1">
        <v>20</v>
      </c>
      <c r="L4" s="2">
        <v>110</v>
      </c>
      <c r="M4" s="1">
        <f t="shared" ref="M4:M8" si="6">IF(1.0081*J4 +3.6947&gt;180,180,IF(1.0081*J4 +3.6947&gt;0,1.0081*J4 +3.6947,0))</f>
        <v>44.018699999999995</v>
      </c>
      <c r="N4" s="1">
        <f t="shared" ref="N4:N8" si="7">IF(0.9918*K4-4.1154&gt;180,180,IF(0.9918*K4-4.1154&gt;0,0.9918*K4-4.1154,0))</f>
        <v>15.720599999999997</v>
      </c>
      <c r="O4" s="2">
        <f t="shared" ref="O4:O8" si="8">IF(1.0118*L4-3.8812&gt;180,180,IF(1.0118*L4-3.8812&gt;0,1.0118*L4-3.8812,0))</f>
        <v>107.41679999999999</v>
      </c>
      <c r="P4" s="1">
        <f>U4+90+$Y$4</f>
        <v>50.236358309273818</v>
      </c>
      <c r="Q4" s="1">
        <f t="shared" ref="Q4:Q8" si="9">IF(V4&gt;=0,$Y$1-(90-V4),$Y$1-(90+V4))</f>
        <v>21.11409787172002</v>
      </c>
      <c r="R4" s="2">
        <f t="shared" ref="R4:R8" si="10">W4+$Y$2</f>
        <v>122.01979899947773</v>
      </c>
      <c r="S4" s="1">
        <f t="shared" ref="S4:S8" si="11">2*ATAN(($Y$3-D4)/(E4-65))</f>
        <v>0.19034039191783073</v>
      </c>
      <c r="T4" s="1">
        <f t="shared" ref="T4:T8" si="12">IF((($Y$3-D4)/(160*SIN(S4/2)))&lt;=1,2*ASIN(($Y$3-D4)/(160*SIN(S4/2))),2*ASIN(1))</f>
        <v>0.92736144481751404</v>
      </c>
      <c r="U4" s="1">
        <f t="shared" ref="U4:U8" si="13">(ATAN(C4/B4)/PI())*180</f>
        <v>-49.763641690726182</v>
      </c>
      <c r="V4" s="1">
        <f t="shared" ref="V4:V8" si="14">((0.5*(T4-S4))/PI())*180</f>
        <v>21.11409787172002</v>
      </c>
      <c r="W4" s="2">
        <f t="shared" ref="W4:W8" si="15">((0.5*(S4+T4))/PI())*180</f>
        <v>32.019798999477729</v>
      </c>
      <c r="X4" t="s">
        <v>27</v>
      </c>
      <c r="Y4">
        <v>10</v>
      </c>
    </row>
    <row r="5" spans="1:25" x14ac:dyDescent="0.3">
      <c r="A5" s="9">
        <f t="shared" si="0"/>
        <v>2</v>
      </c>
      <c r="B5" s="1">
        <v>100</v>
      </c>
      <c r="C5" s="1">
        <v>-120</v>
      </c>
      <c r="D5" s="1">
        <v>85.25</v>
      </c>
      <c r="E5" s="2">
        <f t="shared" si="1"/>
        <v>156.20499351813308</v>
      </c>
      <c r="F5" s="1">
        <f t="shared" si="2"/>
        <v>109.60276599496723</v>
      </c>
      <c r="G5" s="1">
        <f t="shared" si="3"/>
        <v>-131.52331919396065</v>
      </c>
      <c r="H5" s="1">
        <f t="shared" si="4"/>
        <v>85.250000000000014</v>
      </c>
      <c r="I5" s="2">
        <f t="shared" si="5"/>
        <v>171.20499351813311</v>
      </c>
      <c r="J5" s="1">
        <v>40</v>
      </c>
      <c r="K5" s="1">
        <v>60</v>
      </c>
      <c r="L5" s="2">
        <v>90</v>
      </c>
      <c r="M5" s="1">
        <f t="shared" si="6"/>
        <v>44.018699999999995</v>
      </c>
      <c r="N5" s="1">
        <f t="shared" si="7"/>
        <v>55.392600000000002</v>
      </c>
      <c r="O5" s="2">
        <f t="shared" si="8"/>
        <v>87.180799999999991</v>
      </c>
      <c r="P5" s="1">
        <f t="shared" ref="P5:P8" si="16">U5+90+$Y$4</f>
        <v>49.805571092265197</v>
      </c>
      <c r="Q5" s="1">
        <f t="shared" si="9"/>
        <v>53.635852196598421</v>
      </c>
      <c r="R5" s="2">
        <f t="shared" si="10"/>
        <v>109.56022169859183</v>
      </c>
      <c r="S5" s="1">
        <f t="shared" si="11"/>
        <v>-0.59473194688320996</v>
      </c>
      <c r="T5" s="1">
        <f t="shared" si="12"/>
        <v>1.2775124890041407</v>
      </c>
      <c r="U5" s="1">
        <f t="shared" si="13"/>
        <v>-50.194428907734803</v>
      </c>
      <c r="V5" s="1">
        <f t="shared" si="14"/>
        <v>53.635852196598421</v>
      </c>
      <c r="W5" s="2">
        <f t="shared" si="15"/>
        <v>19.560221698591835</v>
      </c>
    </row>
    <row r="6" spans="1:25" x14ac:dyDescent="0.3">
      <c r="A6" s="9">
        <f t="shared" si="0"/>
        <v>3</v>
      </c>
      <c r="B6" s="1">
        <v>141</v>
      </c>
      <c r="C6" s="1">
        <v>-158</v>
      </c>
      <c r="D6" s="1">
        <v>13.4</v>
      </c>
      <c r="E6" s="2">
        <f t="shared" si="1"/>
        <v>211.7663807123312</v>
      </c>
      <c r="F6" s="1">
        <f t="shared" si="2"/>
        <v>150.98742101029279</v>
      </c>
      <c r="G6" s="1">
        <f t="shared" si="3"/>
        <v>-169.19157815337769</v>
      </c>
      <c r="H6" s="1">
        <f t="shared" si="4"/>
        <v>13.400000000000013</v>
      </c>
      <c r="I6" s="2">
        <f t="shared" si="5"/>
        <v>226.76638071233117</v>
      </c>
      <c r="J6" s="1">
        <v>40</v>
      </c>
      <c r="K6" s="1">
        <v>60</v>
      </c>
      <c r="L6" s="2">
        <v>170</v>
      </c>
      <c r="M6" s="1">
        <f t="shared" si="6"/>
        <v>44.018699999999995</v>
      </c>
      <c r="N6" s="1">
        <f t="shared" si="7"/>
        <v>55.392600000000002</v>
      </c>
      <c r="O6" s="2">
        <f t="shared" si="8"/>
        <v>168.12479999999999</v>
      </c>
      <c r="P6" s="1">
        <f t="shared" si="16"/>
        <v>51.745883858306215</v>
      </c>
      <c r="Q6" s="1">
        <f t="shared" si="9"/>
        <v>56.572341895708838</v>
      </c>
      <c r="R6" s="2">
        <f t="shared" si="10"/>
        <v>179.87774917136852</v>
      </c>
      <c r="S6" s="1">
        <f t="shared" si="11"/>
        <v>0.58128901567793634</v>
      </c>
      <c r="T6" s="1">
        <f t="shared" si="12"/>
        <v>2.5560362789660358</v>
      </c>
      <c r="U6" s="1">
        <f t="shared" si="13"/>
        <v>-48.254116141693785</v>
      </c>
      <c r="V6" s="1">
        <f t="shared" si="14"/>
        <v>56.572341895708838</v>
      </c>
      <c r="W6" s="2">
        <f t="shared" si="15"/>
        <v>89.877749171368521</v>
      </c>
    </row>
    <row r="7" spans="1:25" x14ac:dyDescent="0.3">
      <c r="A7" s="9">
        <f t="shared" si="0"/>
        <v>4</v>
      </c>
      <c r="B7" s="1">
        <v>69</v>
      </c>
      <c r="C7" s="1">
        <v>-84</v>
      </c>
      <c r="D7" s="1">
        <v>125.35</v>
      </c>
      <c r="E7" s="2">
        <f t="shared" si="1"/>
        <v>108.70602559196064</v>
      </c>
      <c r="F7" s="1">
        <f t="shared" si="2"/>
        <v>78.521091350400198</v>
      </c>
      <c r="G7" s="1">
        <f t="shared" si="3"/>
        <v>-95.590893817878523</v>
      </c>
      <c r="H7" s="1">
        <f t="shared" si="4"/>
        <v>125.35</v>
      </c>
      <c r="I7" s="2">
        <f t="shared" si="5"/>
        <v>123.70602559196064</v>
      </c>
      <c r="J7" s="1">
        <v>40</v>
      </c>
      <c r="K7" s="1">
        <v>100</v>
      </c>
      <c r="L7" s="2">
        <v>50</v>
      </c>
      <c r="M7" s="1">
        <f t="shared" si="6"/>
        <v>44.018699999999995</v>
      </c>
      <c r="N7" s="1">
        <f t="shared" si="7"/>
        <v>95.064600000000013</v>
      </c>
      <c r="O7" s="2">
        <f t="shared" si="8"/>
        <v>46.708800000000004</v>
      </c>
      <c r="P7" s="1">
        <f t="shared" si="16"/>
        <v>49.400660663479428</v>
      </c>
      <c r="Q7" s="1">
        <f t="shared" si="9"/>
        <v>87.651975208430542</v>
      </c>
      <c r="R7" s="2">
        <f t="shared" si="10"/>
        <v>63.074273851847579</v>
      </c>
      <c r="S7" s="1">
        <f t="shared" si="11"/>
        <v>-1.9997581380391463</v>
      </c>
      <c r="T7" s="1">
        <f t="shared" si="12"/>
        <v>1.0598729884879656</v>
      </c>
      <c r="U7" s="1">
        <f t="shared" si="13"/>
        <v>-50.599339336520572</v>
      </c>
      <c r="V7" s="1">
        <f t="shared" si="14"/>
        <v>87.651975208430542</v>
      </c>
      <c r="W7" s="2">
        <f t="shared" si="15"/>
        <v>-26.925726148152425</v>
      </c>
    </row>
    <row r="8" spans="1:25" x14ac:dyDescent="0.3">
      <c r="A8" s="9">
        <f t="shared" si="0"/>
        <v>5</v>
      </c>
      <c r="B8" s="1">
        <v>125</v>
      </c>
      <c r="C8" s="1">
        <v>-176</v>
      </c>
      <c r="D8" s="1">
        <v>115.8</v>
      </c>
      <c r="E8" s="2">
        <f t="shared" si="1"/>
        <v>215.87264764207623</v>
      </c>
      <c r="F8" s="1">
        <f t="shared" si="2"/>
        <v>132.704605093711</v>
      </c>
      <c r="G8" s="1">
        <f t="shared" si="3"/>
        <v>-186.84808397194507</v>
      </c>
      <c r="H8" s="1">
        <f t="shared" si="4"/>
        <v>115.14304803911945</v>
      </c>
      <c r="I8" s="2">
        <f t="shared" si="5"/>
        <v>229.17835564700437</v>
      </c>
      <c r="J8" s="1">
        <v>40</v>
      </c>
      <c r="K8" s="1">
        <v>120</v>
      </c>
      <c r="L8" s="2">
        <v>150</v>
      </c>
      <c r="M8" s="1">
        <f t="shared" si="6"/>
        <v>44.018699999999995</v>
      </c>
      <c r="N8" s="1">
        <f t="shared" si="7"/>
        <v>114.90060000000001</v>
      </c>
      <c r="O8" s="2">
        <f t="shared" si="8"/>
        <v>147.8888</v>
      </c>
      <c r="P8" s="1">
        <f t="shared" si="16"/>
        <v>45.383408429950045</v>
      </c>
      <c r="Q8" s="1">
        <f t="shared" si="9"/>
        <v>111.19351544103496</v>
      </c>
      <c r="R8" s="2">
        <f t="shared" si="10"/>
        <v>158.80648455896505</v>
      </c>
      <c r="S8" s="1">
        <f t="shared" si="11"/>
        <v>-0.73979324903663624</v>
      </c>
      <c r="T8" s="1">
        <f t="shared" si="12"/>
        <v>3.1415926535897931</v>
      </c>
      <c r="U8" s="1">
        <f t="shared" si="13"/>
        <v>-54.616591570049955</v>
      </c>
      <c r="V8" s="1">
        <f t="shared" si="14"/>
        <v>111.19351544103496</v>
      </c>
      <c r="W8" s="2">
        <f t="shared" si="15"/>
        <v>68.806484558965039</v>
      </c>
    </row>
    <row r="9" spans="1:25" x14ac:dyDescent="0.3">
      <c r="A9" s="9">
        <f t="shared" ref="A9:A14" si="17">ROW()-3</f>
        <v>6</v>
      </c>
      <c r="B9" s="1">
        <v>159</v>
      </c>
      <c r="C9" s="1">
        <v>-114</v>
      </c>
      <c r="D9" s="1">
        <v>65.75</v>
      </c>
      <c r="E9" s="2">
        <f t="shared" ref="E9:E14" si="18">SQRT(B9^2+C9^2)</f>
        <v>195.64508682816444</v>
      </c>
      <c r="F9" s="1">
        <f t="shared" ref="F9:F14" si="19">I9*COS((U9/180)*PI())</f>
        <v>171.19044157288113</v>
      </c>
      <c r="G9" s="1">
        <f t="shared" ref="G9:G14" si="20">I9*SIN((U9/180)*PI())</f>
        <v>-122.74031659942422</v>
      </c>
      <c r="H9" s="1">
        <f t="shared" ref="H9:H14" si="21">57.3+80*COS((W9/180)*PI())-80*COS((V9/180)*PI())</f>
        <v>65.75</v>
      </c>
      <c r="I9" s="2">
        <f t="shared" ref="I9:I14" si="22">15+80*SIN((W9/180)*PI())+80*SIN((V9/180)*PI())+65</f>
        <v>210.64508682816441</v>
      </c>
      <c r="J9" s="1">
        <v>60</v>
      </c>
      <c r="K9" s="1">
        <v>60</v>
      </c>
      <c r="L9" s="2">
        <v>130</v>
      </c>
      <c r="M9" s="1">
        <f t="shared" ref="M9:M14" si="23">IF(1.0081*J9 +3.6947&gt;180,180,IF(1.0081*J9 +3.6947&gt;0,1.0081*J9 +3.6947,0))</f>
        <v>64.180700000000002</v>
      </c>
      <c r="N9" s="1">
        <f t="shared" ref="N9:N14" si="24">IF(0.9918*K9-4.1154&gt;180,180,IF(0.9918*K9-4.1154&gt;0,0.9918*K9-4.1154,0))</f>
        <v>55.392600000000002</v>
      </c>
      <c r="O9" s="2">
        <f t="shared" ref="O9:O14" si="25">IF(1.0118*L9-3.8812&gt;180,180,IF(1.0118*L9-3.8812&gt;0,1.0118*L9-3.8812,0))</f>
        <v>127.65279999999998</v>
      </c>
      <c r="P9" s="1">
        <f t="shared" ref="P9:P14" si="26">U9+90+$Y$4</f>
        <v>64.360190801913319</v>
      </c>
      <c r="Q9" s="1">
        <f t="shared" ref="Q9:Q14" si="27">IF(V9&gt;=0,$Y$1-(90-V9),$Y$1-(90+V9))</f>
        <v>58.609473769214034</v>
      </c>
      <c r="R9" s="2">
        <f t="shared" ref="R9:R14" si="28">W9+$Y$2</f>
        <v>141.20811009952521</v>
      </c>
      <c r="S9" s="1">
        <f t="shared" ref="S9:S14" si="29">2*ATAN(($Y$3-D9)/(E9-65))</f>
        <v>-0.12917816517356007</v>
      </c>
      <c r="T9" s="1">
        <f t="shared" ref="T9:T14" si="30">IF((($Y$3-D9)/(160*SIN(S9/2)))&lt;=1,2*ASIN(($Y$3-D9)/(160*SIN(S9/2))),2*ASIN(1))</f>
        <v>1.9166784150945122</v>
      </c>
      <c r="U9" s="1">
        <f t="shared" ref="U9:U14" si="31">(ATAN(C9/B9)/PI())*180</f>
        <v>-35.639809198086674</v>
      </c>
      <c r="V9" s="1">
        <f t="shared" ref="V9:V14" si="32">((0.5*(T9-S9))/PI())*180</f>
        <v>58.609473769214034</v>
      </c>
      <c r="W9" s="2">
        <f t="shared" ref="W9:W14" si="33">((0.5*(S9+T9))/PI())*180</f>
        <v>51.208110099525207</v>
      </c>
    </row>
    <row r="10" spans="1:25" x14ac:dyDescent="0.3">
      <c r="A10" s="9">
        <f t="shared" si="17"/>
        <v>7</v>
      </c>
      <c r="B10" s="1">
        <v>124</v>
      </c>
      <c r="C10" s="1">
        <v>-85</v>
      </c>
      <c r="D10" s="1">
        <v>113</v>
      </c>
      <c r="E10" s="2">
        <f t="shared" si="18"/>
        <v>150.33628969746459</v>
      </c>
      <c r="F10" s="1">
        <f t="shared" si="19"/>
        <v>136.37226223783389</v>
      </c>
      <c r="G10" s="1">
        <f t="shared" si="20"/>
        <v>-93.480986211418411</v>
      </c>
      <c r="H10" s="1">
        <f t="shared" si="21"/>
        <v>113.00000000000001</v>
      </c>
      <c r="I10" s="2">
        <f t="shared" si="22"/>
        <v>165.33628969746459</v>
      </c>
      <c r="J10" s="1">
        <v>60</v>
      </c>
      <c r="K10" s="1">
        <v>80</v>
      </c>
      <c r="L10" s="2">
        <v>90</v>
      </c>
      <c r="M10" s="1">
        <f t="shared" si="23"/>
        <v>64.180700000000002</v>
      </c>
      <c r="N10" s="1">
        <f t="shared" si="24"/>
        <v>75.2286</v>
      </c>
      <c r="O10" s="2">
        <f t="shared" si="25"/>
        <v>87.180799999999991</v>
      </c>
      <c r="P10" s="1">
        <f t="shared" si="26"/>
        <v>65.569991220827092</v>
      </c>
      <c r="Q10" s="1">
        <f t="shared" si="27"/>
        <v>72.6947951190688</v>
      </c>
      <c r="R10" s="2">
        <f t="shared" si="28"/>
        <v>96.428880694763023</v>
      </c>
      <c r="S10" s="1">
        <f t="shared" si="29"/>
        <v>-1.1565583885489383</v>
      </c>
      <c r="T10" s="1">
        <f t="shared" si="30"/>
        <v>1.3809686592319692</v>
      </c>
      <c r="U10" s="1">
        <f t="shared" si="31"/>
        <v>-34.430008779172915</v>
      </c>
      <c r="V10" s="1">
        <f t="shared" si="32"/>
        <v>72.6947951190688</v>
      </c>
      <c r="W10" s="2">
        <f t="shared" si="33"/>
        <v>6.4288806947630288</v>
      </c>
    </row>
    <row r="11" spans="1:25" x14ac:dyDescent="0.3">
      <c r="A11" s="9">
        <f t="shared" si="17"/>
        <v>8</v>
      </c>
      <c r="B11" s="1">
        <v>82</v>
      </c>
      <c r="C11" s="1">
        <v>-48</v>
      </c>
      <c r="D11" s="1">
        <v>113</v>
      </c>
      <c r="E11" s="2">
        <f t="shared" si="18"/>
        <v>95.015788161757627</v>
      </c>
      <c r="F11" s="1">
        <f t="shared" si="19"/>
        <v>94.945217040204042</v>
      </c>
      <c r="G11" s="1">
        <f t="shared" si="20"/>
        <v>-55.577688023534066</v>
      </c>
      <c r="H11" s="1">
        <f t="shared" si="21"/>
        <v>113.00000000000001</v>
      </c>
      <c r="I11" s="2">
        <f t="shared" si="22"/>
        <v>110.01578816175764</v>
      </c>
      <c r="J11" s="1">
        <v>60</v>
      </c>
      <c r="K11" s="1">
        <v>100</v>
      </c>
      <c r="L11" s="2">
        <v>30</v>
      </c>
      <c r="M11" s="1">
        <f t="shared" si="23"/>
        <v>64.180700000000002</v>
      </c>
      <c r="N11" s="1">
        <f t="shared" si="24"/>
        <v>95.064600000000013</v>
      </c>
      <c r="O11" s="2">
        <f t="shared" si="25"/>
        <v>26.472799999999999</v>
      </c>
      <c r="P11" s="1">
        <f t="shared" si="26"/>
        <v>69.656751115760429</v>
      </c>
      <c r="Q11" s="1">
        <f t="shared" si="27"/>
        <v>84.9748477180853</v>
      </c>
      <c r="R11" s="2">
        <f t="shared" si="28"/>
        <v>51.613801159524144</v>
      </c>
      <c r="S11" s="1">
        <f t="shared" si="29"/>
        <v>-2.1530564311529119</v>
      </c>
      <c r="T11" s="1">
        <f t="shared" si="30"/>
        <v>0.81312531696984547</v>
      </c>
      <c r="U11" s="1">
        <f t="shared" si="31"/>
        <v>-30.343248884239575</v>
      </c>
      <c r="V11" s="1">
        <f t="shared" si="32"/>
        <v>84.9748477180853</v>
      </c>
      <c r="W11" s="2">
        <f t="shared" si="33"/>
        <v>-38.386198840475856</v>
      </c>
    </row>
    <row r="12" spans="1:25" x14ac:dyDescent="0.3">
      <c r="A12" s="9">
        <f t="shared" si="17"/>
        <v>9</v>
      </c>
      <c r="B12" s="1">
        <v>175</v>
      </c>
      <c r="C12" s="1">
        <v>-124.5</v>
      </c>
      <c r="D12" s="1">
        <v>112.2</v>
      </c>
      <c r="E12" s="2">
        <f t="shared" si="18"/>
        <v>214.76789797360311</v>
      </c>
      <c r="F12" s="1">
        <f t="shared" si="19"/>
        <v>187.22249705271423</v>
      </c>
      <c r="G12" s="1">
        <f t="shared" si="20"/>
        <v>-133.19543361750243</v>
      </c>
      <c r="H12" s="1">
        <f t="shared" si="21"/>
        <v>112.19999999999999</v>
      </c>
      <c r="I12" s="2">
        <f t="shared" si="22"/>
        <v>229.76789797360311</v>
      </c>
      <c r="J12" s="1">
        <v>60</v>
      </c>
      <c r="K12" s="1">
        <v>120</v>
      </c>
      <c r="L12" s="2">
        <v>150</v>
      </c>
      <c r="M12" s="1">
        <f t="shared" si="23"/>
        <v>64.180700000000002</v>
      </c>
      <c r="N12" s="1">
        <f t="shared" si="24"/>
        <v>114.90060000000001</v>
      </c>
      <c r="O12" s="2">
        <f t="shared" si="25"/>
        <v>147.8888</v>
      </c>
      <c r="P12" s="1">
        <f t="shared" si="26"/>
        <v>64.570866180092082</v>
      </c>
      <c r="Q12" s="1">
        <f t="shared" si="27"/>
        <v>105.66030891501504</v>
      </c>
      <c r="R12" s="2">
        <f t="shared" si="28"/>
        <v>155.39774895804305</v>
      </c>
      <c r="S12" s="1">
        <f t="shared" si="29"/>
        <v>-0.70271423653078779</v>
      </c>
      <c r="T12" s="1">
        <f t="shared" si="30"/>
        <v>2.9855263219518724</v>
      </c>
      <c r="U12" s="1">
        <f t="shared" si="31"/>
        <v>-35.429133819907925</v>
      </c>
      <c r="V12" s="1">
        <f t="shared" si="32"/>
        <v>105.66030891501504</v>
      </c>
      <c r="W12" s="2">
        <f t="shared" si="33"/>
        <v>65.397748958043053</v>
      </c>
    </row>
    <row r="13" spans="1:25" x14ac:dyDescent="0.3">
      <c r="A13" s="9">
        <f t="shared" si="17"/>
        <v>10</v>
      </c>
      <c r="B13" s="1">
        <v>124</v>
      </c>
      <c r="C13" s="1">
        <v>-31</v>
      </c>
      <c r="D13" s="1">
        <v>51.8</v>
      </c>
      <c r="E13" s="2">
        <f t="shared" si="18"/>
        <v>127.81627439414747</v>
      </c>
      <c r="F13" s="1">
        <f t="shared" si="19"/>
        <v>138.55213750217996</v>
      </c>
      <c r="G13" s="1">
        <f t="shared" si="20"/>
        <v>-34.63803437554499</v>
      </c>
      <c r="H13" s="1">
        <f t="shared" si="21"/>
        <v>51.8</v>
      </c>
      <c r="I13" s="2">
        <f t="shared" si="22"/>
        <v>142.81627439414746</v>
      </c>
      <c r="J13" s="1">
        <v>80</v>
      </c>
      <c r="K13" s="1">
        <v>20</v>
      </c>
      <c r="L13" s="2">
        <v>110</v>
      </c>
      <c r="M13" s="1">
        <f t="shared" si="23"/>
        <v>84.342699999999994</v>
      </c>
      <c r="N13" s="1">
        <f t="shared" si="24"/>
        <v>15.720599999999997</v>
      </c>
      <c r="O13" s="2">
        <f t="shared" si="25"/>
        <v>107.41679999999999</v>
      </c>
      <c r="P13" s="1">
        <f t="shared" si="26"/>
        <v>85.963756532073518</v>
      </c>
      <c r="Q13" s="1">
        <f t="shared" si="27"/>
        <v>18.206205976225533</v>
      </c>
      <c r="R13" s="2">
        <f t="shared" si="28"/>
        <v>118.21396901579888</v>
      </c>
      <c r="S13" s="1">
        <f t="shared" si="29"/>
        <v>0.17466841579995046</v>
      </c>
      <c r="T13" s="1">
        <f t="shared" si="30"/>
        <v>0.81018489296275842</v>
      </c>
      <c r="U13" s="1">
        <f t="shared" si="31"/>
        <v>-14.036243467926479</v>
      </c>
      <c r="V13" s="1">
        <f t="shared" si="32"/>
        <v>18.206205976225529</v>
      </c>
      <c r="W13" s="2">
        <f t="shared" si="33"/>
        <v>28.213969015798877</v>
      </c>
    </row>
    <row r="14" spans="1:25" x14ac:dyDescent="0.3">
      <c r="A14" s="9">
        <f t="shared" si="17"/>
        <v>11</v>
      </c>
      <c r="B14" s="1">
        <v>187</v>
      </c>
      <c r="C14" s="1">
        <v>-57</v>
      </c>
      <c r="D14" s="1">
        <v>94.6</v>
      </c>
      <c r="E14" s="2">
        <f t="shared" si="18"/>
        <v>195.49424543960367</v>
      </c>
      <c r="F14" s="1">
        <f t="shared" si="19"/>
        <v>201.34824842896248</v>
      </c>
      <c r="G14" s="1">
        <f t="shared" si="20"/>
        <v>-61.37353026979072</v>
      </c>
      <c r="H14" s="1">
        <f t="shared" si="21"/>
        <v>94.59999999999998</v>
      </c>
      <c r="I14" s="2">
        <f t="shared" si="22"/>
        <v>210.49424543960367</v>
      </c>
      <c r="J14" s="1">
        <v>80</v>
      </c>
      <c r="K14" s="1">
        <v>80</v>
      </c>
      <c r="L14" s="2">
        <v>130</v>
      </c>
      <c r="M14" s="1">
        <f t="shared" si="23"/>
        <v>84.342699999999994</v>
      </c>
      <c r="N14" s="1">
        <f t="shared" si="24"/>
        <v>75.2286</v>
      </c>
      <c r="O14" s="2">
        <f t="shared" si="25"/>
        <v>127.65279999999998</v>
      </c>
      <c r="P14" s="1">
        <f t="shared" si="26"/>
        <v>83.048105754553063</v>
      </c>
      <c r="Q14" s="1">
        <f t="shared" si="27"/>
        <v>73.973997123789445</v>
      </c>
      <c r="R14" s="2">
        <f t="shared" si="28"/>
        <v>132.07027290125171</v>
      </c>
      <c r="S14" s="1">
        <f t="shared" si="29"/>
        <v>-0.55682503133155159</v>
      </c>
      <c r="T14" s="1">
        <f t="shared" si="30"/>
        <v>2.0253545900103309</v>
      </c>
      <c r="U14" s="1">
        <f t="shared" si="31"/>
        <v>-16.951894245446944</v>
      </c>
      <c r="V14" s="1">
        <f t="shared" si="32"/>
        <v>73.973997123789445</v>
      </c>
      <c r="W14" s="2">
        <f t="shared" si="33"/>
        <v>42.07027290125172</v>
      </c>
    </row>
    <row r="15" spans="1:25" x14ac:dyDescent="0.3">
      <c r="A15" s="9">
        <f t="shared" ref="A15:A17" si="34">ROW()-3</f>
        <v>12</v>
      </c>
      <c r="B15" s="1">
        <v>157</v>
      </c>
      <c r="C15" s="1">
        <v>-66</v>
      </c>
      <c r="D15" s="1">
        <v>157.85</v>
      </c>
      <c r="E15" s="2">
        <f t="shared" ref="E15:E17" si="35">SQRT(B15^2+C15^2)</f>
        <v>170.30854353202602</v>
      </c>
      <c r="F15" s="1">
        <f t="shared" ref="F15:F17" si="36">I15*COS((U15/180)*PI())</f>
        <v>170.82784416541705</v>
      </c>
      <c r="G15" s="1">
        <f t="shared" ref="G15:G17" si="37">I15*SIN((U15/180)*PI())</f>
        <v>-71.812979075907805</v>
      </c>
      <c r="H15" s="1">
        <f t="shared" ref="H15:H17" si="38">57.3+80*COS((W15/180)*PI())-80*COS((V15/180)*PI())</f>
        <v>157.84999999999997</v>
      </c>
      <c r="I15" s="2">
        <f t="shared" ref="I15:I17" si="39">15+80*SIN((W15/180)*PI())+80*SIN((V15/180)*PI())+65</f>
        <v>185.30854353202602</v>
      </c>
      <c r="J15" s="1">
        <v>80</v>
      </c>
      <c r="K15" s="1">
        <v>120</v>
      </c>
      <c r="L15" s="2">
        <v>110</v>
      </c>
      <c r="M15" s="1">
        <f t="shared" ref="M15:M17" si="40">IF(1.0081*J15 +3.6947&gt;180,180,IF(1.0081*J15 +3.6947&gt;0,1.0081*J15 +3.6947,0))</f>
        <v>84.342699999999994</v>
      </c>
      <c r="N15" s="1">
        <f t="shared" ref="N15:N17" si="41">IF(0.9918*K15-4.1154&gt;180,180,IF(0.9918*K15-4.1154&gt;0,0.9918*K15-4.1154,0))</f>
        <v>114.90060000000001</v>
      </c>
      <c r="O15" s="2">
        <f t="shared" ref="O15:O17" si="42">IF(1.0118*L15-3.8812&gt;180,180,IF(1.0118*L15-3.8812&gt;0,1.0118*L15-3.8812,0))</f>
        <v>107.41679999999999</v>
      </c>
      <c r="P15" s="1">
        <f t="shared" ref="P15:P18" si="43">U15+90+$Y$4</f>
        <v>77.198983687827734</v>
      </c>
      <c r="Q15" s="1">
        <f t="shared" ref="Q15:Q17" si="44">IF(V15&gt;=0,$Y$1-(90-V15),$Y$1-(90+V15))</f>
        <v>109.18362843117477</v>
      </c>
      <c r="R15" s="2">
        <f t="shared" ref="R15:R17" si="45">W15+$Y$2</f>
        <v>111.83200931556065</v>
      </c>
      <c r="S15" s="1">
        <f t="shared" ref="S15:S17" si="46">2*ATAN(($Y$3-D15)/(E15-65))</f>
        <v>-1.5245733605154836</v>
      </c>
      <c r="T15" s="1">
        <f t="shared" ref="T15:T17" si="47">IF((($Y$3-D15)/(160*SIN(S15/2)))&lt;=1,2*ASIN(($Y$3-D15)/(160*SIN(S15/2))),2*ASIN(1))</f>
        <v>2.2866542502806979</v>
      </c>
      <c r="U15" s="1">
        <f t="shared" ref="U15:U17" si="48">(ATAN(C15/B15)/PI())*180</f>
        <v>-22.801016312172273</v>
      </c>
      <c r="V15" s="1">
        <f t="shared" ref="V15:V17" si="49">((0.5*(T15-S15))/PI())*180</f>
        <v>109.18362843117477</v>
      </c>
      <c r="W15" s="2">
        <f t="shared" ref="W15:W17" si="50">((0.5*(S15+T15))/PI())*180</f>
        <v>21.832009315560654</v>
      </c>
    </row>
    <row r="16" spans="1:25" x14ac:dyDescent="0.3">
      <c r="A16" s="9">
        <f t="shared" si="34"/>
        <v>13</v>
      </c>
      <c r="B16" s="1">
        <v>162</v>
      </c>
      <c r="C16" s="1">
        <v>-0.1</v>
      </c>
      <c r="D16" s="1">
        <v>87</v>
      </c>
      <c r="E16" s="2">
        <f t="shared" si="35"/>
        <v>162.0000308641946</v>
      </c>
      <c r="F16" s="1">
        <f t="shared" si="36"/>
        <v>176.99999714220476</v>
      </c>
      <c r="G16" s="1">
        <f t="shared" si="37"/>
        <v>-0.10925925749518813</v>
      </c>
      <c r="H16" s="1">
        <f t="shared" si="38"/>
        <v>87.000000000000014</v>
      </c>
      <c r="I16" s="2">
        <f t="shared" si="39"/>
        <v>177.0000308641946</v>
      </c>
      <c r="J16" s="1">
        <v>100</v>
      </c>
      <c r="K16" s="1">
        <v>60</v>
      </c>
      <c r="L16" s="2">
        <v>110</v>
      </c>
      <c r="M16" s="1">
        <f t="shared" si="40"/>
        <v>104.5047</v>
      </c>
      <c r="N16" s="1">
        <f t="shared" si="41"/>
        <v>55.392600000000002</v>
      </c>
      <c r="O16" s="2">
        <f t="shared" si="42"/>
        <v>107.41679999999999</v>
      </c>
      <c r="P16" s="1">
        <f t="shared" si="43"/>
        <v>99.96463223936064</v>
      </c>
      <c r="Q16" s="1">
        <f t="shared" si="44"/>
        <v>56.372016228565379</v>
      </c>
      <c r="R16" s="2">
        <f t="shared" si="45"/>
        <v>112.32436225357</v>
      </c>
      <c r="S16" s="1">
        <f t="shared" si="46"/>
        <v>-0.5942436644434046</v>
      </c>
      <c r="T16" s="1">
        <f t="shared" si="47"/>
        <v>1.3735109139088799</v>
      </c>
      <c r="U16" s="1">
        <f t="shared" si="48"/>
        <v>-3.5367760639361763E-2</v>
      </c>
      <c r="V16" s="1">
        <f t="shared" si="49"/>
        <v>56.372016228565379</v>
      </c>
      <c r="W16" s="2">
        <f t="shared" si="50"/>
        <v>22.324362253569998</v>
      </c>
    </row>
    <row r="17" spans="1:23" x14ac:dyDescent="0.3">
      <c r="A17" s="9">
        <f t="shared" si="34"/>
        <v>14</v>
      </c>
      <c r="B17" s="1">
        <v>177</v>
      </c>
      <c r="C17" s="1">
        <v>-1.5</v>
      </c>
      <c r="D17" s="1">
        <v>108.1</v>
      </c>
      <c r="E17" s="2">
        <f t="shared" si="35"/>
        <v>177.00635581808919</v>
      </c>
      <c r="F17" s="1">
        <f t="shared" si="36"/>
        <v>191.99946139068908</v>
      </c>
      <c r="G17" s="1">
        <f t="shared" si="37"/>
        <v>-1.6271140795821109</v>
      </c>
      <c r="H17" s="1">
        <f t="shared" si="38"/>
        <v>108.1</v>
      </c>
      <c r="I17" s="2">
        <f t="shared" si="39"/>
        <v>192.00635581808922</v>
      </c>
      <c r="J17" s="1">
        <v>100</v>
      </c>
      <c r="K17" s="1">
        <v>80</v>
      </c>
      <c r="L17" s="2">
        <v>110</v>
      </c>
      <c r="M17" s="1">
        <f t="shared" si="40"/>
        <v>104.5047</v>
      </c>
      <c r="N17" s="1">
        <f t="shared" si="41"/>
        <v>75.2286</v>
      </c>
      <c r="O17" s="2">
        <f t="shared" si="42"/>
        <v>107.41679999999999</v>
      </c>
      <c r="P17" s="1">
        <f t="shared" si="43"/>
        <v>99.514454169991865</v>
      </c>
      <c r="Q17" s="1">
        <f t="shared" si="44"/>
        <v>74.63155241655349</v>
      </c>
      <c r="R17" s="2">
        <f t="shared" si="45"/>
        <v>115.83862590644665</v>
      </c>
      <c r="S17" s="1">
        <f t="shared" si="46"/>
        <v>-0.85159721928499055</v>
      </c>
      <c r="T17" s="1">
        <f t="shared" si="47"/>
        <v>1.7535354118021875</v>
      </c>
      <c r="U17" s="1">
        <f t="shared" si="48"/>
        <v>-0.48554583000813362</v>
      </c>
      <c r="V17" s="1">
        <f t="shared" si="49"/>
        <v>74.63155241655349</v>
      </c>
      <c r="W17" s="2">
        <f t="shared" si="50"/>
        <v>25.838625906446659</v>
      </c>
    </row>
    <row r="18" spans="1:23" x14ac:dyDescent="0.3">
      <c r="A18" s="9">
        <f t="shared" ref="A18:A20" si="51">ROW()-3</f>
        <v>15</v>
      </c>
      <c r="B18" s="1">
        <v>89</v>
      </c>
      <c r="C18" s="1">
        <v>28.5</v>
      </c>
      <c r="D18" s="1">
        <v>58.3</v>
      </c>
      <c r="E18" s="2">
        <f t="shared" ref="E18:E20" si="52">SQRT(B18^2+C18^2)</f>
        <v>93.451859264543259</v>
      </c>
      <c r="F18" s="1">
        <f t="shared" ref="F18:F20" si="53">I18*COS((U18/180)*PI())</f>
        <v>103.28543006534397</v>
      </c>
      <c r="G18" s="1">
        <f t="shared" ref="G18:G20" si="54">I18*SIN((U18/180)*PI())</f>
        <v>33.07454782991352</v>
      </c>
      <c r="H18" s="1">
        <f t="shared" ref="H18:H20" si="55">57.3+80*COS((W18/180)*PI())-80*COS((V18/180)*PI())</f>
        <v>58.299999999999983</v>
      </c>
      <c r="I18" s="2">
        <f t="shared" ref="I18:I20" si="56">15+80*SIN((W18/180)*PI())+80*SIN((V18/180)*PI())+65</f>
        <v>108.45185926454326</v>
      </c>
      <c r="J18" s="1">
        <v>120</v>
      </c>
      <c r="K18" s="1">
        <v>20</v>
      </c>
      <c r="L18" s="2">
        <v>70</v>
      </c>
      <c r="M18" s="1">
        <f t="shared" ref="M18:M20" si="57">IF(1.0081*J18 +3.6947&gt;180,180,IF(1.0081*J18 +3.6947&gt;0,1.0081*J18 +3.6947,0))</f>
        <v>124.66669999999999</v>
      </c>
      <c r="N18" s="1">
        <f t="shared" ref="N18:N20" si="58">IF(0.9918*K18-4.1154&gt;180,180,IF(0.9918*K18-4.1154&gt;0,0.9918*K18-4.1154,0))</f>
        <v>15.720599999999997</v>
      </c>
      <c r="O18" s="2">
        <f t="shared" ref="O18:O20" si="59">IF(1.0118*L18-3.8812&gt;180,180,IF(1.0118*L18-3.8812&gt;0,1.0118*L18-3.8812,0))</f>
        <v>66.944800000000001</v>
      </c>
      <c r="P18" s="1">
        <f t="shared" si="43"/>
        <v>117.75635034065408</v>
      </c>
      <c r="Q18" s="1">
        <f t="shared" ref="Q18:Q20" si="60">IF(V18&gt;=0,$Y$1-(90-V18),$Y$1-(90+V18))</f>
        <v>12.262390820992664</v>
      </c>
      <c r="R18" s="2">
        <f t="shared" ref="R18:R20" si="61">W18+$Y$2</f>
        <v>98.236488427760406</v>
      </c>
      <c r="S18" s="1">
        <f t="shared" ref="S18:S20" si="62">2*ATAN(($Y$3-D18)/(E18-65))</f>
        <v>-7.0265252125822283E-2</v>
      </c>
      <c r="T18" s="1">
        <f t="shared" ref="T18:T20" si="63">IF((($Y$3-D18)/(160*SIN(S18/2)))&lt;=1,2*ASIN(($Y$3-D18)/(160*SIN(S18/2))),2*ASIN(1))</f>
        <v>0.35777293585948294</v>
      </c>
      <c r="U18" s="1">
        <f t="shared" ref="U18:U20" si="64">(ATAN(C18/B18)/PI())*180</f>
        <v>17.756350340654077</v>
      </c>
      <c r="V18" s="1">
        <f t="shared" ref="V18:V20" si="65">((0.5*(T18-S18))/PI())*180</f>
        <v>12.262390820992666</v>
      </c>
      <c r="W18" s="2">
        <f t="shared" ref="W18:W20" si="66">((0.5*(S18+T18))/PI())*180</f>
        <v>8.2364884277604133</v>
      </c>
    </row>
    <row r="19" spans="1:23" x14ac:dyDescent="0.3">
      <c r="A19" s="9">
        <f t="shared" si="51"/>
        <v>16</v>
      </c>
      <c r="B19" s="1">
        <v>181</v>
      </c>
      <c r="C19" s="1">
        <v>62</v>
      </c>
      <c r="D19" s="1">
        <v>70.7</v>
      </c>
      <c r="E19" s="2">
        <f t="shared" si="52"/>
        <v>191.32433196015609</v>
      </c>
      <c r="F19" s="1">
        <f t="shared" si="53"/>
        <v>195.19056307258091</v>
      </c>
      <c r="G19" s="1">
        <f t="shared" si="54"/>
        <v>66.860855859116114</v>
      </c>
      <c r="H19" s="1">
        <f t="shared" si="55"/>
        <v>70.700000000000017</v>
      </c>
      <c r="I19" s="2">
        <f t="shared" si="56"/>
        <v>206.32433196015609</v>
      </c>
      <c r="J19" s="1">
        <v>120</v>
      </c>
      <c r="K19" s="1">
        <v>60</v>
      </c>
      <c r="L19" s="2">
        <v>130</v>
      </c>
      <c r="M19" s="1">
        <f t="shared" si="57"/>
        <v>124.66669999999999</v>
      </c>
      <c r="N19" s="1">
        <f t="shared" si="58"/>
        <v>55.392600000000002</v>
      </c>
      <c r="O19" s="2">
        <f t="shared" si="59"/>
        <v>127.65279999999998</v>
      </c>
      <c r="P19" s="1">
        <f t="shared" ref="P19:P20" si="67">U19+90+$Y$4</f>
        <v>118.90845688165695</v>
      </c>
      <c r="Q19" s="1">
        <f t="shared" si="60"/>
        <v>58.611886724390104</v>
      </c>
      <c r="R19" s="2">
        <f t="shared" si="61"/>
        <v>136.50174045910467</v>
      </c>
      <c r="S19" s="1">
        <f t="shared" si="62"/>
        <v>-0.21136192522732525</v>
      </c>
      <c r="T19" s="1">
        <f t="shared" si="63"/>
        <v>1.8345788830657976</v>
      </c>
      <c r="U19" s="1">
        <f t="shared" si="64"/>
        <v>18.908456881656939</v>
      </c>
      <c r="V19" s="1">
        <f t="shared" si="65"/>
        <v>58.611886724390104</v>
      </c>
      <c r="W19" s="2">
        <f t="shared" si="66"/>
        <v>46.501740459104674</v>
      </c>
    </row>
    <row r="20" spans="1:23" x14ac:dyDescent="0.3">
      <c r="A20" s="9">
        <f t="shared" si="51"/>
        <v>17</v>
      </c>
      <c r="B20" s="1">
        <v>176</v>
      </c>
      <c r="C20" s="1">
        <v>47</v>
      </c>
      <c r="D20" s="1">
        <v>131.80000000000001</v>
      </c>
      <c r="E20" s="2">
        <f t="shared" si="52"/>
        <v>182.16750533506243</v>
      </c>
      <c r="F20" s="1">
        <f t="shared" si="53"/>
        <v>190.49215651904672</v>
      </c>
      <c r="G20" s="1">
        <f t="shared" si="54"/>
        <v>50.87006452497269</v>
      </c>
      <c r="H20" s="1">
        <f t="shared" si="55"/>
        <v>131.79999999999998</v>
      </c>
      <c r="I20" s="2">
        <f t="shared" si="56"/>
        <v>197.16750533506243</v>
      </c>
      <c r="J20" s="1">
        <v>120</v>
      </c>
      <c r="K20" s="1">
        <v>100</v>
      </c>
      <c r="L20" s="2">
        <v>110</v>
      </c>
      <c r="M20" s="1">
        <f t="shared" si="57"/>
        <v>124.66669999999999</v>
      </c>
      <c r="N20" s="1">
        <f t="shared" si="58"/>
        <v>95.064600000000013</v>
      </c>
      <c r="O20" s="2">
        <f t="shared" si="59"/>
        <v>107.41679999999999</v>
      </c>
      <c r="P20" s="1">
        <f t="shared" si="67"/>
        <v>114.95167735392434</v>
      </c>
      <c r="Q20" s="1">
        <f t="shared" si="60"/>
        <v>92.653130334363922</v>
      </c>
      <c r="R20" s="2">
        <f t="shared" si="61"/>
        <v>117.75331620376849</v>
      </c>
      <c r="S20" s="1">
        <f t="shared" si="62"/>
        <v>-1.1327154405112314</v>
      </c>
      <c r="T20" s="1">
        <f t="shared" si="63"/>
        <v>2.101488932716939</v>
      </c>
      <c r="U20" s="1">
        <f t="shared" si="64"/>
        <v>14.951677353924341</v>
      </c>
      <c r="V20" s="1">
        <f t="shared" si="65"/>
        <v>92.653130334363922</v>
      </c>
      <c r="W20" s="2">
        <f t="shared" si="66"/>
        <v>27.753316203768499</v>
      </c>
    </row>
    <row r="21" spans="1:23" x14ac:dyDescent="0.3">
      <c r="A21" s="9">
        <f t="shared" ref="A21:A22" si="68">ROW()-3</f>
        <v>18</v>
      </c>
      <c r="B21" s="1">
        <v>83</v>
      </c>
      <c r="C21" s="1">
        <v>117.5</v>
      </c>
      <c r="D21" s="1">
        <v>60.9</v>
      </c>
      <c r="E21" s="2">
        <f t="shared" ref="E21" si="69">SQRT(B21^2+C21^2)</f>
        <v>143.85843736117809</v>
      </c>
      <c r="F21" s="1">
        <f t="shared" ref="F21:F22" si="70">I21*COS((U21/180)*PI())</f>
        <v>91.654341190112063</v>
      </c>
      <c r="G21" s="1">
        <f t="shared" ref="G21:G22" si="71">I21*SIN((U21/180)*PI())</f>
        <v>129.75162758841168</v>
      </c>
      <c r="H21" s="1">
        <f t="shared" ref="H21" si="72">57.3+80*COS((W21/180)*PI())-80*COS((V21/180)*PI())</f>
        <v>60.900000000000034</v>
      </c>
      <c r="I21" s="2">
        <f t="shared" ref="I21" si="73">15+80*SIN((W21/180)*PI())+80*SIN((V21/180)*PI())+65</f>
        <v>158.85843736117812</v>
      </c>
      <c r="J21" s="1">
        <v>160</v>
      </c>
      <c r="K21" s="1">
        <v>40</v>
      </c>
      <c r="L21" s="2">
        <v>110</v>
      </c>
      <c r="M21" s="1">
        <f t="shared" ref="M21:M22" si="74">IF(1.0081*J21 +3.6947&gt;180,180,IF(1.0081*J21 +3.6947&gt;0,1.0081*J21 +3.6947,0))</f>
        <v>164.9907</v>
      </c>
      <c r="N21" s="1">
        <f t="shared" ref="N21:N22" si="75">IF(0.9918*K21-4.1154&gt;180,180,IF(0.9918*K21-4.1154&gt;0,0.9918*K21-4.1154,0))</f>
        <v>35.556599999999996</v>
      </c>
      <c r="O21" s="2">
        <f t="shared" ref="O21:O22" si="76">IF(1.0118*L21-3.8812&gt;180,180,IF(1.0118*L21-3.8812&gt;0,1.0118*L21-3.8812,0))</f>
        <v>107.41679999999999</v>
      </c>
      <c r="P21" s="1">
        <f t="shared" ref="P21:P22" si="77">U21+90+$Y$4</f>
        <v>154.76326696921106</v>
      </c>
      <c r="Q21" s="1">
        <f t="shared" ref="Q21:Q22" si="78">IF(V21&gt;=0,$Y$1-(90-V21),$Y$1-(90+V21))</f>
        <v>32.176705648132724</v>
      </c>
      <c r="R21" s="2">
        <f t="shared" ref="R21:R22" si="79">W21+$Y$2</f>
        <v>116.94906728369048</v>
      </c>
      <c r="S21" s="1">
        <f t="shared" ref="S21:S22" si="80">2*ATAN(($Y$3-D21)/(E21-65))</f>
        <v>-9.1239501563088327E-2</v>
      </c>
      <c r="T21" s="1">
        <f t="shared" ref="T21:T22" si="81">IF((($Y$3-D21)/(160*SIN(S21/2)))&lt;=1,2*ASIN(($Y$3-D21)/(160*SIN(S21/2))),2*ASIN(1))</f>
        <v>1.0319394104468558</v>
      </c>
      <c r="U21" s="1">
        <f t="shared" ref="U21:U22" si="82">(ATAN(C21/B21)/PI())*180</f>
        <v>54.763266969211067</v>
      </c>
      <c r="V21" s="1">
        <f t="shared" ref="V21" si="83">((0.5*(T21-S21))/PI())*180</f>
        <v>32.176705648132724</v>
      </c>
      <c r="W21" s="2">
        <f t="shared" ref="W21" si="84">((0.5*(S21+T21))/PI())*180</f>
        <v>26.949067283690482</v>
      </c>
    </row>
    <row r="22" spans="1:23" x14ac:dyDescent="0.3">
      <c r="A22" s="9">
        <f t="shared" si="68"/>
        <v>19</v>
      </c>
      <c r="B22" s="1">
        <v>42.5</v>
      </c>
      <c r="C22" s="1">
        <v>72.5</v>
      </c>
      <c r="D22" s="1">
        <v>111.4</v>
      </c>
      <c r="E22" s="2">
        <f t="shared" ref="E22:E23" si="85">SQRT(B22^2+C22^2)</f>
        <v>84.038681569858056</v>
      </c>
      <c r="F22" s="1">
        <f t="shared" si="70"/>
        <v>50.085792495686299</v>
      </c>
      <c r="G22" s="1">
        <f t="shared" si="71"/>
        <v>85.440469551464872</v>
      </c>
      <c r="H22" s="1">
        <f t="shared" ref="H22:H23" si="86">57.3+80*COS((W22/180)*PI())-80*COS((V22/180)*PI())</f>
        <v>111.40000000000002</v>
      </c>
      <c r="I22" s="2">
        <f t="shared" ref="I22:I23" si="87">15+80*SIN((W22/180)*PI())+80*SIN((V22/180)*PI())+65</f>
        <v>99.038681569858056</v>
      </c>
      <c r="J22" s="1">
        <v>160</v>
      </c>
      <c r="K22" s="1">
        <v>100</v>
      </c>
      <c r="L22" s="2">
        <v>30</v>
      </c>
      <c r="M22" s="1">
        <f t="shared" si="74"/>
        <v>164.9907</v>
      </c>
      <c r="N22" s="1">
        <f t="shared" si="75"/>
        <v>95.064600000000013</v>
      </c>
      <c r="O22" s="2">
        <f t="shared" si="76"/>
        <v>26.472799999999999</v>
      </c>
      <c r="P22" s="1">
        <f t="shared" si="77"/>
        <v>159.62087398863164</v>
      </c>
      <c r="Q22" s="1">
        <f t="shared" si="78"/>
        <v>91.617323703662393</v>
      </c>
      <c r="R22" s="2">
        <f t="shared" si="79"/>
        <v>40.392944932584484</v>
      </c>
      <c r="S22" s="1">
        <f t="shared" si="80"/>
        <v>-2.4648303936388927</v>
      </c>
      <c r="T22" s="1">
        <f t="shared" si="81"/>
        <v>0.73321750734981617</v>
      </c>
      <c r="U22" s="1">
        <f t="shared" si="82"/>
        <v>59.620873988631651</v>
      </c>
      <c r="V22" s="1">
        <f t="shared" ref="V22:V23" si="88">((0.5*(T22-S22))/PI())*180</f>
        <v>91.617323703662393</v>
      </c>
      <c r="W22" s="2">
        <f t="shared" ref="W22:W23" si="89">((0.5*(S22+T22))/PI())*180</f>
        <v>-49.607055067415516</v>
      </c>
    </row>
    <row r="23" spans="1:23" x14ac:dyDescent="0.3">
      <c r="A23" s="9">
        <f t="shared" ref="A23" si="90">ROW()-3</f>
        <v>20</v>
      </c>
      <c r="B23" s="1">
        <v>15</v>
      </c>
      <c r="C23" s="1">
        <v>96</v>
      </c>
      <c r="D23" s="1">
        <v>65.75</v>
      </c>
      <c r="E23" s="2">
        <f t="shared" si="85"/>
        <v>97.164808444209882</v>
      </c>
      <c r="F23" s="1">
        <f t="shared" ref="F23" si="91">I23*COS((U23/180)*PI())</f>
        <v>17.315653204104112</v>
      </c>
      <c r="G23" s="1">
        <f t="shared" ref="G23" si="92">I23*SIN((U23/180)*PI())</f>
        <v>110.82018050626651</v>
      </c>
      <c r="H23" s="1">
        <f t="shared" si="86"/>
        <v>65.75</v>
      </c>
      <c r="I23" s="2">
        <f t="shared" si="87"/>
        <v>112.16480844420987</v>
      </c>
      <c r="J23" s="1">
        <v>180</v>
      </c>
      <c r="K23" s="1">
        <v>40</v>
      </c>
      <c r="L23" s="2">
        <v>70</v>
      </c>
      <c r="M23" s="1">
        <f t="shared" ref="M23" si="93">IF(1.0081*J23 +3.6947&gt;180,180,IF(1.0081*J23 +3.6947&gt;0,1.0081*J23 +3.6947,0))</f>
        <v>180</v>
      </c>
      <c r="N23" s="1">
        <f t="shared" ref="N23" si="94">IF(0.9918*K23-4.1154&gt;180,180,IF(0.9918*K23-4.1154&gt;0,0.9918*K23-4.1154,0))</f>
        <v>35.556599999999996</v>
      </c>
      <c r="O23" s="2">
        <f t="shared" ref="O23" si="95">IF(1.0118*L23-3.8812&gt;180,180,IF(1.0118*L23-3.8812&gt;0,1.0118*L23-3.8812,0))</f>
        <v>66.944800000000001</v>
      </c>
      <c r="P23" s="1">
        <f t="shared" ref="P23" si="96">U23+90+$Y$4</f>
        <v>181.11934084947978</v>
      </c>
      <c r="Q23" s="1">
        <f t="shared" ref="Q23" si="97">IF(V23&gt;=0,$Y$1-(90-V23),$Y$1-(90+V23))</f>
        <v>26.716005518899976</v>
      </c>
      <c r="R23" s="2">
        <f t="shared" ref="R23" si="98">W23+$Y$2</f>
        <v>87.276942012112869</v>
      </c>
      <c r="S23" s="1">
        <f t="shared" ref="S23" si="99">2*ATAN(($Y$3-D23)/(E23-65))</f>
        <v>-0.51380858689714315</v>
      </c>
      <c r="T23" s="1">
        <f t="shared" ref="T23" si="100">IF((($Y$3-D23)/(160*SIN(S23/2)))&lt;=1,2*ASIN(($Y$3-D23)/(160*SIN(S23/2))),2*ASIN(1))</f>
        <v>0.41875593167441832</v>
      </c>
      <c r="U23" s="1">
        <f t="shared" ref="U23" si="101">(ATAN(C23/B23)/PI())*180</f>
        <v>81.119340849479769</v>
      </c>
      <c r="V23" s="1">
        <f t="shared" si="88"/>
        <v>26.716005518899973</v>
      </c>
      <c r="W23" s="2">
        <f t="shared" si="89"/>
        <v>-2.7230579878871373</v>
      </c>
    </row>
    <row r="25" spans="1:23" x14ac:dyDescent="0.3">
      <c r="Q25" s="1"/>
      <c r="R25" s="1"/>
    </row>
  </sheetData>
  <mergeCells count="9">
    <mergeCell ref="A1:A3"/>
    <mergeCell ref="B1:I1"/>
    <mergeCell ref="J1:W1"/>
    <mergeCell ref="B2:E2"/>
    <mergeCell ref="F2:I2"/>
    <mergeCell ref="J2:L2"/>
    <mergeCell ref="P2:R2"/>
    <mergeCell ref="S2:W2"/>
    <mergeCell ref="M2:O2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</dc:creator>
  <cp:lastModifiedBy>Mario Youchia</cp:lastModifiedBy>
  <dcterms:created xsi:type="dcterms:W3CDTF">2022-09-19T10:56:22Z</dcterms:created>
  <dcterms:modified xsi:type="dcterms:W3CDTF">2022-11-07T18:04:56Z</dcterms:modified>
</cp:coreProperties>
</file>